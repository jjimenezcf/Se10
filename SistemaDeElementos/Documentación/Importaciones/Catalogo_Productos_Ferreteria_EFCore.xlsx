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Productos" sheetId="1" state="visible" r:id="rId1"/>
    <sheet xmlns:r="http://schemas.openxmlformats.org/officeDocument/2006/relationships" name="Maestro_Unidades" sheetId="2" state="visible" r:id="rId2"/>
    <sheet xmlns:r="http://schemas.openxmlformats.org/officeDocument/2006/relationships" name="Maestro_Naturalezas" sheetId="3" state="visible" r:id="rId3"/>
  </sheets>
  <calcPr calcId="124519" fullCalcOnLoad="1"/>
</workbook>
</file>

<file path=xl/sharedStrings.xml><?xml version="1.0" encoding="utf-8"?>
<sst xmlns="http://schemas.openxmlformats.org/spreadsheetml/2006/main" count="171" uniqueCount="171">
  <si>
    <t>CATÁLOGO DE PRODUCTOS DE FERRETERÍA - IMPORTACIÓN C#</t>
  </si>
  <si>
    <t>Estructura compatible con la entidad UnitarioDtm (Clase: Material, Mapeo con NaturalezaDtm y UnidadDtm)</t>
  </si>
  <si>
    <t xml:space="preserve">Referencia
(IUsaReferencia)</t>
  </si>
  <si>
    <t xml:space="preserve">Nombre / Título
(RegistroConNombreDtm)</t>
  </si>
  <si>
    <t xml:space="preserve">Descripción Detallada
(IUsaDescripcion)</t>
  </si>
  <si>
    <t xml:space="preserve">Clase
(enumClaseUnitario)</t>
  </si>
  <si>
    <t xml:space="preserve">Sigla Unidad
(UnidadDtm.Sigla)</t>
  </si>
  <si>
    <t xml:space="preserve">Sigla Naturaleza
(NaturalezaDtm.Sigla)</t>
  </si>
  <si>
    <t xml:space="preserve">Coste (€)
(UnitarioDtm.Coste)</t>
  </si>
  <si>
    <t xml:space="preserve">Venta (€)
(UnitarioDtm.Venta)</t>
  </si>
  <si>
    <t xml:space="preserve">Margen (€)
(Calculado)</t>
  </si>
  <si>
    <t xml:space="preserve">% Margen
(Calculado)</t>
  </si>
  <si>
    <t xml:space="preserve">Baja
(IUsaBaja)</t>
  </si>
  <si>
    <t xml:space="preserve">Expresion
(UnitarioDtm.Expresion)</t>
  </si>
  <si>
    <t xml:space="preserve">Naturaleza
(NaturalezaDtm.Nombre)</t>
  </si>
  <si>
    <t>Cuenta de gasto</t>
  </si>
  <si>
    <t>Cuenta de ingreso</t>
  </si>
  <si>
    <t>M-MAT-00</t>
  </si>
  <si>
    <t>Martillo de Peña 500g</t>
  </si>
  <si>
    <t>Martillo de peña con mango de fibra de vidrio ergonómico anti-vibración</t>
  </si>
  <si>
    <t>Material</t>
  </si>
  <si>
    <t>UD</t>
  </si>
  <si>
    <t>MAT</t>
  </si>
  <si>
    <t>NO</t>
  </si>
  <si>
    <t>Materiales de ferretería</t>
  </si>
  <si>
    <t>6000001</t>
  </si>
  <si>
    <t>7000001</t>
  </si>
  <si>
    <t>M-MAT-01</t>
  </si>
  <si>
    <t>Juego Destornilladores 6 Pzas</t>
  </si>
  <si>
    <t>Juego de destornilladores planos y boca phillips aislados 1000V</t>
  </si>
  <si>
    <t>JGO</t>
  </si>
  <si>
    <t>M-MAT-02</t>
  </si>
  <si>
    <t>Alicate Universal 180mm</t>
  </si>
  <si>
    <t>Alicate universal de acero Cromo-Vanadio con mango bi-material</t>
  </si>
  <si>
    <t>M-MAT-03</t>
  </si>
  <si>
    <t>Llave Ajustable 10" (Inglesa)</t>
  </si>
  <si>
    <t>Llave inglesa reforzada de 250mm con escala milimétrica grabada</t>
  </si>
  <si>
    <t>M-MAT-04</t>
  </si>
  <si>
    <t>Flexómetro Profesional 5m x 25mm</t>
  </si>
  <si>
    <t>Cinta métrica con freno de bloqueo y gancho magnético triple remache</t>
  </si>
  <si>
    <t>M-MAT-05</t>
  </si>
  <si>
    <t>Taladro Percutor 750W</t>
  </si>
  <si>
    <t>Taladro con cable de 750W, portabrocas automático 13mm y maletín</t>
  </si>
  <si>
    <t>M-MAT-06</t>
  </si>
  <si>
    <t>Amoladora Angular 115mm 800W</t>
  </si>
  <si>
    <t>Radial compacta 800W con protector contra rebanado y empuñadura 2 pos</t>
  </si>
  <si>
    <t>M-MAT-07</t>
  </si>
  <si>
    <t>Sierra de Calar 650W</t>
  </si>
  <si>
    <t>Sierra de calar orbital con regulador de velocidad y soplador de polvo</t>
  </si>
  <si>
    <t>M-MAT-08</t>
  </si>
  <si>
    <t>Juego Brocas Hormigón SDS-Plus 5pzas</t>
  </si>
  <si>
    <t>Brocas de widia para hormigón y piedra dura SDS-Plus (5, 6, 8, 10, 12mm)</t>
  </si>
  <si>
    <t>M-MAT-09</t>
  </si>
  <si>
    <t>Tornillo Rosca Madera 4x40mm (Caja 500u)</t>
  </si>
  <si>
    <t>Tornillos cabeza avellanada impronta Torx zincado amarillo</t>
  </si>
  <si>
    <t>CJ</t>
  </si>
  <si>
    <t>M-MAT-10</t>
  </si>
  <si>
    <t>Taco de Expansión Nylon 8mm (Bolsa 100u)</t>
  </si>
  <si>
    <t>Tacos multiuso de nylon reforzado para paredes huecas y macizas</t>
  </si>
  <si>
    <t>BL</t>
  </si>
  <si>
    <t>M-MAT-11</t>
  </si>
  <si>
    <t>Anclaje Metálico Antigiro M8x80 (Caja 50u)</t>
  </si>
  <si>
    <t>Taco metálico de expansión pesada con tornillo hex de calidad 8.8</t>
  </si>
  <si>
    <t>M-MAT-12</t>
  </si>
  <si>
    <t>Masilla de Fijación Aberturas 300ml</t>
  </si>
  <si>
    <t>Adhesivo de montaje agarre total e inmediato para zócalos y paneles</t>
  </si>
  <si>
    <t>M-MAT-13</t>
  </si>
  <si>
    <t>Teflón para Juntas 12mm x 12m</t>
  </si>
  <si>
    <t>Cinta de teflón PTFE de densidad superior para sellado de roscas</t>
  </si>
  <si>
    <t>M-MAT-14</t>
  </si>
  <si>
    <t>Latiguillo Flexible 1/2" - 3/8" 30cm</t>
  </si>
  <si>
    <t>Conexión flexible de acero inoxidable para grifería y sanitarios</t>
  </si>
  <si>
    <t>M-MAT-15</t>
  </si>
  <si>
    <t>Válvula de Esfera Latón 3/4" H-H</t>
  </si>
  <si>
    <t>Llave de paso de bola paso total PN25 con mando palanca de palomilla</t>
  </si>
  <si>
    <t>M-MAT-16</t>
  </si>
  <si>
    <t>Sifón Botella Extensible 1 1/2"</t>
  </si>
  <si>
    <t>Desagüe sifónico PVC con salida orientable y junta bilabial</t>
  </si>
  <si>
    <t>M-MAT-17</t>
  </si>
  <si>
    <t>Cinta Aislante Negra 19mm x 20m</t>
  </si>
  <si>
    <t>Cinta adhesiva de PVC autoextinguible para aislamiento eléctrico</t>
  </si>
  <si>
    <t>M-MAT-18</t>
  </si>
  <si>
    <t>Bombilla LED E27 12W (Eq. 100W) 4000K</t>
  </si>
  <si>
    <t>Lámpara led estándar luz neutra 1050 lúmenes alta eficiencia A+</t>
  </si>
  <si>
    <t>M-MAT-19</t>
  </si>
  <si>
    <t>Base Múltiple 4 Tomas con Interruptor 1.5m</t>
  </si>
  <si>
    <t>Regleta de enchufes con protección infantil y cable de 1.5 metros</t>
  </si>
  <si>
    <t>M-MAT-20</t>
  </si>
  <si>
    <t>Cable Unipolar H07V-K 2.5mm² Azul 100m</t>
  </si>
  <si>
    <t>Rollo de cable conductor de cobre flexible para instalaciones interiores</t>
  </si>
  <si>
    <t>M-MAT-21</t>
  </si>
  <si>
    <t>Pintura Plástica Blanco Mate 15L</t>
  </si>
  <si>
    <t>Pintura interior de alta cobertura y lavabilidad sin olor</t>
  </si>
  <si>
    <t>L</t>
  </si>
  <si>
    <t>M-MAT-22</t>
  </si>
  <si>
    <t>Silicona Neutra Transparente 300ml</t>
  </si>
  <si>
    <t>Sellador de silicona monocomponente para juntas y acristalamiento</t>
  </si>
  <si>
    <t>M-MAT-23</t>
  </si>
  <si>
    <t>Espuma de Poliuretano Cánula 750ml</t>
  </si>
  <si>
    <t>Espuma expandible para relleno, aislamiento térmico y acústico</t>
  </si>
  <si>
    <t>M-MAT-24</t>
  </si>
  <si>
    <t>Rodillo Antigota 22cm Pelo Corto</t>
  </si>
  <si>
    <t>Rodillo para pintura plástica con mango ergonómico de varilla 8mm</t>
  </si>
  <si>
    <t>M-MAT-25</t>
  </si>
  <si>
    <t>Guantes de Trabajo Nitrilo Talla 9</t>
  </si>
  <si>
    <t>Guantes de protección mecánica recubiertos de nitrilo microporoso</t>
  </si>
  <si>
    <t>M-MAT-26</t>
  </si>
  <si>
    <t>Gafas de Seguridad Policarbonato</t>
  </si>
  <si>
    <t>Gafas de protección panorámicas anti-rayaduras y anti-empañamiento</t>
  </si>
  <si>
    <t>M-MAT-27</t>
  </si>
  <si>
    <t>Mascarilla FFP2 NR (Caja 20u)</t>
  </si>
  <si>
    <t>Mascarilla autofiltrante de protección contra partículas sólidas y líquidas</t>
  </si>
  <si>
    <t>M-MAT-28</t>
  </si>
  <si>
    <t>Manguera Jardín 5 Capas 1/2" 25m</t>
  </si>
  <si>
    <t>Manguera antitorsión resistente a la intemperie y rayos UV</t>
  </si>
  <si>
    <t>M</t>
  </si>
  <si>
    <t>M-MAT-29</t>
  </si>
  <si>
    <t>Aceite Multiusos 3-en-1 Spray 400ml</t>
  </si>
  <si>
    <t>Lubricante, limpiador y penetrante aflojatodo para metal</t>
  </si>
  <si>
    <t>TOTALES / PROMEDIOS</t>
  </si>
  <si>
    <t>MAESTRO DE UNIDADES DE MEDIDA (UnidadDtm)</t>
  </si>
  <si>
    <t>IdUnidad</t>
  </si>
  <si>
    <t>Sigla (UnidadDtm.Sigla)</t>
  </si>
  <si>
    <t>Nombre (RegistroConNombreDtm.Nombre)</t>
  </si>
  <si>
    <t>Expresion (Calculada)</t>
  </si>
  <si>
    <t>Unidad</t>
  </si>
  <si>
    <t>KG</t>
  </si>
  <si>
    <t>Kilogramo</t>
  </si>
  <si>
    <t>Metro lineal</t>
  </si>
  <si>
    <t>M2</t>
  </si>
  <si>
    <t>Metro cuadrado</t>
  </si>
  <si>
    <t>Litro</t>
  </si>
  <si>
    <t>Caja</t>
  </si>
  <si>
    <t>Blíster / Paquete</t>
  </si>
  <si>
    <t>Juego / Set</t>
  </si>
  <si>
    <t>MAESTRO DE NATURALEZAS DE PRODUCTO (NaturalezaDtm)</t>
  </si>
  <si>
    <t>IdNaturaleza</t>
  </si>
  <si>
    <t>Sigla</t>
  </si>
  <si>
    <t>Nombre (NaturalezaDtm.Nombre)</t>
  </si>
  <si>
    <t>Cuenta Gasto</t>
  </si>
  <si>
    <t>Cuenta Ingreso</t>
  </si>
  <si>
    <t>HERR-MAN</t>
  </si>
  <si>
    <t>Herramienta Manual</t>
  </si>
  <si>
    <t>HERR-ELE</t>
  </si>
  <si>
    <t>Herramienta Eléctrica</t>
  </si>
  <si>
    <t>6000002</t>
  </si>
  <si>
    <t>7000002</t>
  </si>
  <si>
    <t>TORN-FER</t>
  </si>
  <si>
    <t>Tornillería y Fijación</t>
  </si>
  <si>
    <t>6000003</t>
  </si>
  <si>
    <t>7000003</t>
  </si>
  <si>
    <t>FONT-TUB</t>
  </si>
  <si>
    <t>Fontanería y Tuberías</t>
  </si>
  <si>
    <t>6000004</t>
  </si>
  <si>
    <t>7000004</t>
  </si>
  <si>
    <t>ELEC-ILU</t>
  </si>
  <si>
    <t>Electricidad e Iluminación</t>
  </si>
  <si>
    <t>6000005</t>
  </si>
  <si>
    <t>7000005</t>
  </si>
  <si>
    <t>PINT-QUIM</t>
  </si>
  <si>
    <t>Pintura y Químicos</t>
  </si>
  <si>
    <t>6000006</t>
  </si>
  <si>
    <t>7000006</t>
  </si>
  <si>
    <t>PROT-EPI</t>
  </si>
  <si>
    <t>Protección Laboral (EPIs)</t>
  </si>
  <si>
    <t>6000007</t>
  </si>
  <si>
    <t>7000007</t>
  </si>
  <si>
    <t>JARD-CON</t>
  </si>
  <si>
    <t>Jardinería y Consumibles</t>
  </si>
  <si>
    <t>6000008</t>
  </si>
  <si>
    <t>7000008</t>
  </si>
</sst>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sz val="11"/>
      <color theme="1"/>
      <name val="Calibri"/>
      <family val="2"/>
      <scheme val="minor"/>
    </font>
    <font>
      <b/>
      <sz val="14"/>
      <color rgb="001F4E79"/>
      <name val="Segoe UI"/>
    </font>
    <font>
      <b/>
      <sz val="11"/>
      <color rgb="00FFFFFF"/>
      <name val="Segoe UI"/>
    </font>
    <font>
      <sz val="10"/>
      <name val="Segoe UI"/>
    </font>
    <font>
      <i/>
      <sz val="9"/>
      <color rgb="00595959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1F4E79"/>
      </top>
      <bottom style="double">
        <color rgb="001F4E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applyFont="1" fillId="0" borderId="0" xfId="0"/>
    <xf numFmtId="0" fontId="4" applyFont="1" fillId="0" borderId="0" xfId="0"/>
    <xf numFmtId="0" fontId="2" applyFont="1" fillId="2" applyFill="1" borderId="0" xfId="0" applyAlignment="1">
      <alignment horizontal="center" vertical="center" wrapText="1"/>
    </xf>
    <xf numFmtId="0" fontId="3" applyFont="1" fillId="4" applyFill="1" borderId="1" applyBorder="1" xfId="0" applyAlignment="1">
      <alignment horizontal="center"/>
    </xf>
    <xf numFmtId="0" fontId="3" applyFont="1" fillId="4" applyFill="1" borderId="1" applyBorder="1" xfId="0" applyAlignment="1">
      <alignment horizontal="left"/>
    </xf>
    <xf numFmtId="164" applyNumberFormat="1" fontId="3" applyFont="1" fillId="4" applyFill="1" borderId="1" applyBorder="1" xfId="0" applyAlignment="1">
      <alignment horizontal="right"/>
    </xf>
    <xf numFmtId="10" applyNumberFormat="1" fontId="3" applyFont="1" fillId="4" applyFill="1" borderId="1" applyBorder="1" xfId="0" applyAlignment="1">
      <alignment horizontal="right"/>
    </xf>
    <xf numFmtId="0" fontId="3" applyFont="1" fillId="3" applyFill="1" borderId="1" applyBorder="1" xfId="0" applyAlignment="1">
      <alignment horizontal="center"/>
    </xf>
    <xf numFmtId="0" fontId="3" applyFont="1" fillId="3" applyFill="1" borderId="1" applyBorder="1" xfId="0" applyAlignment="1">
      <alignment horizontal="left"/>
    </xf>
    <xf numFmtId="164" applyNumberFormat="1" fontId="3" applyFont="1" fillId="3" applyFill="1" borderId="1" applyBorder="1" xfId="0" applyAlignment="1">
      <alignment horizontal="right"/>
    </xf>
    <xf numFmtId="10" applyNumberFormat="1" fontId="3" applyFont="1" fillId="3" applyFill="1" borderId="1" applyBorder="1" xfId="0" applyAlignment="1">
      <alignment horizontal="right"/>
    </xf>
    <xf numFmtId="0" fontId="5" applyFont="1" fillId="0" borderId="2" applyBorder="1" xfId="0" applyAlignment="1">
      <alignment horizontal="left"/>
    </xf>
    <xf numFmtId="0" fontId="5" applyFont="1" fillId="0" borderId="2" applyBorder="1" xfId="0"/>
    <xf numFmtId="164" applyNumberFormat="1" fontId="5" applyFont="1" fillId="0" borderId="2" applyBorder="1" xfId="0"/>
    <xf numFmtId="10" applyNumberFormat="1" fontId="5" applyFont="1" fillId="0" borderId="2" applyBorder="1" xfId="0"/>
    <xf numFmtId="49" applyNumberFormat="1" fontId="3" applyFont="1" fillId="4" applyFill="1" borderId="1" applyBorder="1" xfId="0" applyAlignment="1">
      <alignment horizontal="center"/>
    </xf>
    <xf numFmtId="49" applyNumberFormat="1" fontId="3" applyFont="1" fillId="3" applyFill="1" borderId="1" applyBorder="1" xfId="0" applyAlignment="1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xr="http://schemas.microsoft.com/office/spreadsheetml/2014/revision" xmlns:mc="http://schemas.openxmlformats.org/markup-compatibility/2006" mc:Ignorable=" xr">
  <sheetPr>
    <outlinePr summaryBelow="1" summaryRight="1"/>
    <pageSetUpPr/>
  </sheetPr>
  <dimension ref="A1:O35"/>
  <sheetViews>
    <sheetView showGridLines="1" workbookViewId="0">
      <selection activeCell="A1" sqref="A1"/>
    </sheetView>
  </sheetViews>
  <sheetFormatPr baseColWidth="8" defaultRowHeight="15"/>
  <cols>
    <col min="1" max="1" width="107" customWidth="1"/>
    <col min="2" max="2" width="46" customWidth="1"/>
    <col min="3" max="3" width="79" customWidth="1"/>
    <col min="4" max="4" width="23" customWidth="1"/>
    <col min="5" max="5" width="21" customWidth="1"/>
    <col min="6" max="6" width="25" customWidth="1"/>
    <col min="7" max="7" width="23" customWidth="1"/>
    <col min="8" max="8" width="23" customWidth="1"/>
    <col min="9" max="9" width="16" customWidth="1"/>
    <col min="10" max="10" width="32" customWidth="1"/>
    <col min="11" max="11" width="14" customWidth="1"/>
    <col min="12" max="12" width="37" customWidth="1"/>
    <col min="13" max="13" width="30" customWidth="1"/>
    <col min="14" max="14" width="18" customWidth="1"/>
    <col min="15" max="15" width="18" customWidth="1"/>
  </cols>
  <sheetData>
    <row r="1">
      <c r="A1" s="1" t="s">
        <v>0</v>
      </c>
    </row>
    <row r="2">
      <c r="A2" s="2" t="s">
        <v>1</v>
      </c>
    </row>
    <row r="4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>
      <c r="A5" s="4" t="s">
        <v>17</v>
      </c>
      <c r="B5" s="5" t="s">
        <v>18</v>
      </c>
      <c r="C5" s="5" t="s">
        <v>19</v>
      </c>
      <c r="D5" s="4" t="s">
        <v>20</v>
      </c>
      <c r="E5" s="4" t="s">
        <v>21</v>
      </c>
      <c r="F5" s="4" t="s">
        <v>22</v>
      </c>
      <c r="G5" s="6">
        <v>6.5</v>
      </c>
      <c r="H5" s="6">
        <v>12.95</v>
      </c>
      <c r="I5" s="6">
        <f>H5-G5</f>
        <v>6.449999999999999</v>
      </c>
      <c r="J5" s="7">
        <f>IF(H5&gt;0, (H5-G5)/H5, 0)</f>
        <v>0.498069498069498</v>
      </c>
      <c r="K5" s="4" t="s">
        <v>23</v>
      </c>
      <c r="L5" s="5" t="str">
        <f>CONCATENATE("(", A5, ") ", B5)</f>
        <v>(M-MAT-00) Martillo de Peña 500g</v>
      </c>
      <c r="M5" s="16" t="s">
        <v>24</v>
      </c>
      <c r="N5" s="16" t="s">
        <v>25</v>
      </c>
      <c r="O5" s="16" t="s">
        <v>26</v>
      </c>
    </row>
    <row r="6">
      <c r="A6" s="8" t="s">
        <v>27</v>
      </c>
      <c r="B6" s="9" t="s">
        <v>28</v>
      </c>
      <c r="C6" s="9" t="s">
        <v>29</v>
      </c>
      <c r="D6" s="8" t="s">
        <v>20</v>
      </c>
      <c r="E6" s="8" t="s">
        <v>30</v>
      </c>
      <c r="F6" s="8" t="s">
        <v>22</v>
      </c>
      <c r="G6" s="10">
        <v>9.2</v>
      </c>
      <c r="H6" s="10">
        <v>18.5</v>
      </c>
      <c r="I6" s="10">
        <f>H6-G6</f>
        <v>9.3</v>
      </c>
      <c r="J6" s="11">
        <f>IF(H6&gt;0, (H6-G6)/H6, 0)</f>
        <v>0.5027027027027028</v>
      </c>
      <c r="K6" s="8" t="s">
        <v>23</v>
      </c>
      <c r="L6" s="9" t="str">
        <f>CONCATENATE("(", A6, ") ", B6)</f>
        <v>(M-MAT-01) Juego Destornilladores 6 Pzas</v>
      </c>
      <c r="M6" s="17" t="s">
        <v>24</v>
      </c>
      <c r="N6" s="17" t="s">
        <v>25</v>
      </c>
      <c r="O6" s="17" t="s">
        <v>26</v>
      </c>
    </row>
    <row r="7">
      <c r="A7" s="4" t="s">
        <v>31</v>
      </c>
      <c r="B7" s="5" t="s">
        <v>32</v>
      </c>
      <c r="C7" s="5" t="s">
        <v>33</v>
      </c>
      <c r="D7" s="4" t="s">
        <v>20</v>
      </c>
      <c r="E7" s="4" t="s">
        <v>21</v>
      </c>
      <c r="F7" s="4" t="s">
        <v>22</v>
      </c>
      <c r="G7" s="6">
        <v>5.8</v>
      </c>
      <c r="H7" s="6">
        <v>11.5</v>
      </c>
      <c r="I7" s="6">
        <f>H7-G7</f>
        <v>5.7</v>
      </c>
      <c r="J7" s="7">
        <f>IF(H7&gt;0, (H7-G7)/H7, 0)</f>
        <v>0.4956521739130435</v>
      </c>
      <c r="K7" s="4" t="s">
        <v>23</v>
      </c>
      <c r="L7" s="5" t="str">
        <f>CONCATENATE("(", A7, ") ", B7)</f>
        <v>(M-MAT-02) Alicate Universal 180mm</v>
      </c>
      <c r="M7" s="16" t="s">
        <v>24</v>
      </c>
      <c r="N7" s="16" t="s">
        <v>25</v>
      </c>
      <c r="O7" s="16" t="s">
        <v>26</v>
      </c>
    </row>
    <row r="8">
      <c r="A8" s="8" t="s">
        <v>34</v>
      </c>
      <c r="B8" s="9" t="s">
        <v>35</v>
      </c>
      <c r="C8" s="9" t="s">
        <v>36</v>
      </c>
      <c r="D8" s="8" t="s">
        <v>20</v>
      </c>
      <c r="E8" s="8" t="s">
        <v>21</v>
      </c>
      <c r="F8" s="8" t="s">
        <v>22</v>
      </c>
      <c r="G8" s="10">
        <v>7.4</v>
      </c>
      <c r="H8" s="10">
        <v>14.9</v>
      </c>
      <c r="I8" s="10">
        <f>H8-G8</f>
        <v>7.5</v>
      </c>
      <c r="J8" s="11">
        <f>IF(H8&gt;0, (H8-G8)/H8, 0)</f>
        <v>0.5033557046979865</v>
      </c>
      <c r="K8" s="8" t="s">
        <v>23</v>
      </c>
      <c r="L8" s="9" t="str">
        <f>CONCATENATE("(", A8, ") ", B8)</f>
        <v>(M-MAT-03) Llave Ajustable 10" (Inglesa)</v>
      </c>
      <c r="M8" s="17" t="s">
        <v>24</v>
      </c>
      <c r="N8" s="17" t="s">
        <v>25</v>
      </c>
      <c r="O8" s="17" t="s">
        <v>26</v>
      </c>
    </row>
    <row r="9">
      <c r="A9" s="4" t="s">
        <v>37</v>
      </c>
      <c r="B9" s="5" t="s">
        <v>38</v>
      </c>
      <c r="C9" s="5" t="s">
        <v>39</v>
      </c>
      <c r="D9" s="4" t="s">
        <v>20</v>
      </c>
      <c r="E9" s="4" t="s">
        <v>21</v>
      </c>
      <c r="F9" s="4" t="s">
        <v>22</v>
      </c>
      <c r="G9" s="6">
        <v>3.2</v>
      </c>
      <c r="H9" s="6">
        <v>7.5</v>
      </c>
      <c r="I9" s="6">
        <f>H9-G9</f>
        <v>4.3</v>
      </c>
      <c r="J9" s="7">
        <f>IF(H9&gt;0, (H9-G9)/H9, 0)</f>
        <v>0.5733333333333334</v>
      </c>
      <c r="K9" s="4" t="s">
        <v>23</v>
      </c>
      <c r="L9" s="5" t="str">
        <f>CONCATENATE("(", A9, ") ", B9)</f>
        <v>(M-MAT-04) Flexómetro Profesional 5m x 25mm</v>
      </c>
      <c r="M9" s="16" t="s">
        <v>24</v>
      </c>
      <c r="N9" s="16" t="s">
        <v>25</v>
      </c>
      <c r="O9" s="16" t="s">
        <v>26</v>
      </c>
    </row>
    <row r="10">
      <c r="A10" s="8" t="s">
        <v>40</v>
      </c>
      <c r="B10" s="9" t="s">
        <v>41</v>
      </c>
      <c r="C10" s="9" t="s">
        <v>42</v>
      </c>
      <c r="D10" s="8" t="s">
        <v>20</v>
      </c>
      <c r="E10" s="8" t="s">
        <v>21</v>
      </c>
      <c r="F10" s="8" t="s">
        <v>22</v>
      </c>
      <c r="G10" s="10">
        <v>28.5</v>
      </c>
      <c r="H10" s="10">
        <v>54.9</v>
      </c>
      <c r="I10" s="10">
        <f>H10-G10</f>
        <v>26.4</v>
      </c>
      <c r="J10" s="11">
        <f>IF(H10&gt;0, (H10-G10)/H10, 0)</f>
        <v>0.4808743169398907</v>
      </c>
      <c r="K10" s="8" t="s">
        <v>23</v>
      </c>
      <c r="L10" s="9" t="str">
        <f>CONCATENATE("(", A10, ") ", B10)</f>
        <v>(M-MAT-05) Taladro Percutor 750W</v>
      </c>
      <c r="M10" s="17" t="s">
        <v>24</v>
      </c>
      <c r="N10" s="17" t="s">
        <v>25</v>
      </c>
      <c r="O10" s="17" t="s">
        <v>26</v>
      </c>
    </row>
    <row r="11">
      <c r="A11" s="4" t="s">
        <v>43</v>
      </c>
      <c r="B11" s="5" t="s">
        <v>44</v>
      </c>
      <c r="C11" s="5" t="s">
        <v>45</v>
      </c>
      <c r="D11" s="4" t="s">
        <v>20</v>
      </c>
      <c r="E11" s="4" t="s">
        <v>21</v>
      </c>
      <c r="F11" s="4" t="s">
        <v>22</v>
      </c>
      <c r="G11" s="6">
        <v>22</v>
      </c>
      <c r="H11" s="6">
        <v>42</v>
      </c>
      <c r="I11" s="6">
        <f>H11-G11</f>
        <v>20</v>
      </c>
      <c r="J11" s="7">
        <f>IF(H11&gt;0, (H11-G11)/H11, 0)</f>
        <v>0.47619047619047616</v>
      </c>
      <c r="K11" s="4" t="s">
        <v>23</v>
      </c>
      <c r="L11" s="5" t="str">
        <f>CONCATENATE("(", A11, ") ", B11)</f>
        <v>(M-MAT-06) Amoladora Angular 115mm 800W</v>
      </c>
      <c r="M11" s="16" t="s">
        <v>24</v>
      </c>
      <c r="N11" s="16" t="s">
        <v>25</v>
      </c>
      <c r="O11" s="16" t="s">
        <v>26</v>
      </c>
    </row>
    <row r="12">
      <c r="A12" s="8" t="s">
        <v>46</v>
      </c>
      <c r="B12" s="9" t="s">
        <v>47</v>
      </c>
      <c r="C12" s="9" t="s">
        <v>48</v>
      </c>
      <c r="D12" s="8" t="s">
        <v>20</v>
      </c>
      <c r="E12" s="8" t="s">
        <v>21</v>
      </c>
      <c r="F12" s="8" t="s">
        <v>22</v>
      </c>
      <c r="G12" s="10">
        <v>31</v>
      </c>
      <c r="H12" s="10">
        <v>59.95</v>
      </c>
      <c r="I12" s="10">
        <f>H12-G12</f>
        <v>28.950000000000003</v>
      </c>
      <c r="J12" s="11">
        <f>IF(H12&gt;0, (H12-G12)/H12, 0)</f>
        <v>0.4829024186822352</v>
      </c>
      <c r="K12" s="8" t="s">
        <v>23</v>
      </c>
      <c r="L12" s="9" t="str">
        <f>CONCATENATE("(", A12, ") ", B12)</f>
        <v>(M-MAT-07) Sierra de Calar 650W</v>
      </c>
      <c r="M12" s="17" t="s">
        <v>24</v>
      </c>
      <c r="N12" s="17" t="s">
        <v>25</v>
      </c>
      <c r="O12" s="17" t="s">
        <v>26</v>
      </c>
    </row>
    <row r="13">
      <c r="A13" s="4" t="s">
        <v>49</v>
      </c>
      <c r="B13" s="5" t="s">
        <v>50</v>
      </c>
      <c r="C13" s="5" t="s">
        <v>51</v>
      </c>
      <c r="D13" s="4" t="s">
        <v>20</v>
      </c>
      <c r="E13" s="4" t="s">
        <v>30</v>
      </c>
      <c r="F13" s="4" t="s">
        <v>22</v>
      </c>
      <c r="G13" s="6">
        <v>6.1</v>
      </c>
      <c r="H13" s="6">
        <v>13.5</v>
      </c>
      <c r="I13" s="6">
        <f>H13-G13</f>
        <v>7.4</v>
      </c>
      <c r="J13" s="7">
        <f>IF(H13&gt;0, (H13-G13)/H13, 0)</f>
        <v>0.5481481481481482</v>
      </c>
      <c r="K13" s="4" t="s">
        <v>23</v>
      </c>
      <c r="L13" s="5" t="str">
        <f>CONCATENATE("(", A13, ") ", B13)</f>
        <v>(M-MAT-08) Juego Brocas Hormigón SDS-Plus 5pzas</v>
      </c>
      <c r="M13" s="16" t="s">
        <v>24</v>
      </c>
      <c r="N13" s="16" t="s">
        <v>25</v>
      </c>
      <c r="O13" s="16" t="s">
        <v>26</v>
      </c>
    </row>
    <row r="14">
      <c r="A14" s="8" t="s">
        <v>52</v>
      </c>
      <c r="B14" s="9" t="s">
        <v>53</v>
      </c>
      <c r="C14" s="9" t="s">
        <v>54</v>
      </c>
      <c r="D14" s="8" t="s">
        <v>20</v>
      </c>
      <c r="E14" s="8" t="s">
        <v>55</v>
      </c>
      <c r="F14" s="8" t="s">
        <v>22</v>
      </c>
      <c r="G14" s="10">
        <v>4.1</v>
      </c>
      <c r="H14" s="10">
        <v>8.9</v>
      </c>
      <c r="I14" s="10">
        <f>H14-G14</f>
        <v>4.800000000000001</v>
      </c>
      <c r="J14" s="11">
        <f>IF(H14&gt;0, (H14-G14)/H14, 0)</f>
        <v>0.5393258426966293</v>
      </c>
      <c r="K14" s="8" t="s">
        <v>23</v>
      </c>
      <c r="L14" s="9" t="str">
        <f>CONCATENATE("(", A14, ") ", B14)</f>
        <v>(M-MAT-09) Tornillo Rosca Madera 4x40mm (Caja 500u)</v>
      </c>
      <c r="M14" s="17" t="s">
        <v>24</v>
      </c>
      <c r="N14" s="17" t="s">
        <v>25</v>
      </c>
      <c r="O14" s="17" t="s">
        <v>26</v>
      </c>
    </row>
    <row r="15">
      <c r="A15" s="4" t="s">
        <v>56</v>
      </c>
      <c r="B15" s="5" t="s">
        <v>57</v>
      </c>
      <c r="C15" s="5" t="s">
        <v>58</v>
      </c>
      <c r="D15" s="4" t="s">
        <v>20</v>
      </c>
      <c r="E15" s="4" t="s">
        <v>59</v>
      </c>
      <c r="F15" s="4" t="s">
        <v>22</v>
      </c>
      <c r="G15" s="6">
        <v>2.3</v>
      </c>
      <c r="H15" s="6">
        <v>5.2</v>
      </c>
      <c r="I15" s="6">
        <f>H15-G15</f>
        <v>2.9000000000000004</v>
      </c>
      <c r="J15" s="7">
        <f>IF(H15&gt;0, (H15-G15)/H15, 0)</f>
        <v>0.5576923076923077</v>
      </c>
      <c r="K15" s="4" t="s">
        <v>23</v>
      </c>
      <c r="L15" s="5" t="str">
        <f>CONCATENATE("(", A15, ") ", B15)</f>
        <v>(M-MAT-10) Taco de Expansión Nylon 8mm (Bolsa 100u)</v>
      </c>
      <c r="M15" s="16" t="s">
        <v>24</v>
      </c>
      <c r="N15" s="16" t="s">
        <v>25</v>
      </c>
      <c r="O15" s="16" t="s">
        <v>26</v>
      </c>
    </row>
    <row r="16">
      <c r="A16" s="8" t="s">
        <v>60</v>
      </c>
      <c r="B16" s="9" t="s">
        <v>61</v>
      </c>
      <c r="C16" s="9" t="s">
        <v>62</v>
      </c>
      <c r="D16" s="8" t="s">
        <v>20</v>
      </c>
      <c r="E16" s="8" t="s">
        <v>55</v>
      </c>
      <c r="F16" s="8" t="s">
        <v>22</v>
      </c>
      <c r="G16" s="10">
        <v>7.8</v>
      </c>
      <c r="H16" s="10">
        <v>15.4</v>
      </c>
      <c r="I16" s="10">
        <f>H16-G16</f>
        <v>7.6000000000000005</v>
      </c>
      <c r="J16" s="11">
        <f>IF(H16&gt;0, (H16-G16)/H16, 0)</f>
        <v>0.4935064935064935</v>
      </c>
      <c r="K16" s="8" t="s">
        <v>23</v>
      </c>
      <c r="L16" s="9" t="str">
        <f>CONCATENATE("(", A16, ") ", B16)</f>
        <v>(M-MAT-11) Anclaje Metálico Antigiro M8x80 (Caja 50u)</v>
      </c>
      <c r="M16" s="17" t="s">
        <v>24</v>
      </c>
      <c r="N16" s="17" t="s">
        <v>25</v>
      </c>
      <c r="O16" s="17" t="s">
        <v>26</v>
      </c>
    </row>
    <row r="17">
      <c r="A17" s="4" t="s">
        <v>63</v>
      </c>
      <c r="B17" s="5" t="s">
        <v>64</v>
      </c>
      <c r="C17" s="5" t="s">
        <v>65</v>
      </c>
      <c r="D17" s="4" t="s">
        <v>20</v>
      </c>
      <c r="E17" s="4" t="s">
        <v>21</v>
      </c>
      <c r="F17" s="4" t="s">
        <v>22</v>
      </c>
      <c r="G17" s="6">
        <v>2.15</v>
      </c>
      <c r="H17" s="6">
        <v>4.8</v>
      </c>
      <c r="I17" s="6">
        <f>H17-G17</f>
        <v>2.65</v>
      </c>
      <c r="J17" s="7">
        <f>IF(H17&gt;0, (H17-G17)/H17, 0)</f>
        <v>0.5520833333333334</v>
      </c>
      <c r="K17" s="4" t="s">
        <v>23</v>
      </c>
      <c r="L17" s="5" t="str">
        <f>CONCATENATE("(", A17, ") ", B17)</f>
        <v>(M-MAT-12) Masilla de Fijación Aberturas 300ml</v>
      </c>
      <c r="M17" s="16" t="s">
        <v>24</v>
      </c>
      <c r="N17" s="16" t="s">
        <v>25</v>
      </c>
      <c r="O17" s="16" t="s">
        <v>26</v>
      </c>
    </row>
    <row r="18">
      <c r="A18" s="8" t="s">
        <v>66</v>
      </c>
      <c r="B18" s="9" t="s">
        <v>67</v>
      </c>
      <c r="C18" s="9" t="s">
        <v>68</v>
      </c>
      <c r="D18" s="8" t="s">
        <v>20</v>
      </c>
      <c r="E18" s="8" t="s">
        <v>21</v>
      </c>
      <c r="F18" s="8" t="s">
        <v>22</v>
      </c>
      <c r="G18" s="10">
        <v>0.35</v>
      </c>
      <c r="H18" s="10">
        <v>1.1</v>
      </c>
      <c r="I18" s="10">
        <f>H18-G18</f>
        <v>0.7500000000000001</v>
      </c>
      <c r="J18" s="11">
        <f>IF(H18&gt;0, (H18-G18)/H18, 0)</f>
        <v>0.6818181818181819</v>
      </c>
      <c r="K18" s="8" t="s">
        <v>23</v>
      </c>
      <c r="L18" s="9" t="str">
        <f>CONCATENATE("(", A18, ") ", B18)</f>
        <v>(M-MAT-13) Teflón para Juntas 12mm x 12m</v>
      </c>
      <c r="M18" s="17" t="s">
        <v>24</v>
      </c>
      <c r="N18" s="17" t="s">
        <v>25</v>
      </c>
      <c r="O18" s="17" t="s">
        <v>26</v>
      </c>
    </row>
    <row r="19">
      <c r="A19" s="4" t="s">
        <v>69</v>
      </c>
      <c r="B19" s="5" t="s">
        <v>70</v>
      </c>
      <c r="C19" s="5" t="s">
        <v>71</v>
      </c>
      <c r="D19" s="4" t="s">
        <v>20</v>
      </c>
      <c r="E19" s="4" t="s">
        <v>21</v>
      </c>
      <c r="F19" s="4" t="s">
        <v>22</v>
      </c>
      <c r="G19" s="6">
        <v>1.8</v>
      </c>
      <c r="H19" s="6">
        <v>4.2</v>
      </c>
      <c r="I19" s="6">
        <f>H19-G19</f>
        <v>2.4000000000000004</v>
      </c>
      <c r="J19" s="7">
        <f>IF(H19&gt;0, (H19-G19)/H19, 0)</f>
        <v>0.5714285714285715</v>
      </c>
      <c r="K19" s="4" t="s">
        <v>23</v>
      </c>
      <c r="L19" s="5" t="str">
        <f>CONCATENATE("(", A19, ") ", B19)</f>
        <v>(M-MAT-14) Latiguillo Flexible 1/2" - 3/8" 30cm</v>
      </c>
      <c r="M19" s="16" t="s">
        <v>24</v>
      </c>
      <c r="N19" s="16" t="s">
        <v>25</v>
      </c>
      <c r="O19" s="16" t="s">
        <v>26</v>
      </c>
    </row>
    <row r="20">
      <c r="A20" s="8" t="s">
        <v>72</v>
      </c>
      <c r="B20" s="9" t="s">
        <v>73</v>
      </c>
      <c r="C20" s="9" t="s">
        <v>74</v>
      </c>
      <c r="D20" s="8" t="s">
        <v>20</v>
      </c>
      <c r="E20" s="8" t="s">
        <v>21</v>
      </c>
      <c r="F20" s="8" t="s">
        <v>22</v>
      </c>
      <c r="G20" s="10">
        <v>3.4</v>
      </c>
      <c r="H20" s="10">
        <v>7.9</v>
      </c>
      <c r="I20" s="10">
        <f>H20-G20</f>
        <v>4.5</v>
      </c>
      <c r="J20" s="11">
        <f>IF(H20&gt;0, (H20-G20)/H20, 0)</f>
        <v>0.5696202531645569</v>
      </c>
      <c r="K20" s="8" t="s">
        <v>23</v>
      </c>
      <c r="L20" s="9" t="str">
        <f>CONCATENATE("(", A20, ") ", B20)</f>
        <v>(M-MAT-15) Válvula de Esfera Latón 3/4" H-H</v>
      </c>
      <c r="M20" s="17" t="s">
        <v>24</v>
      </c>
      <c r="N20" s="17" t="s">
        <v>25</v>
      </c>
      <c r="O20" s="17" t="s">
        <v>26</v>
      </c>
    </row>
    <row r="21">
      <c r="A21" s="4" t="s">
        <v>75</v>
      </c>
      <c r="B21" s="5" t="s">
        <v>76</v>
      </c>
      <c r="C21" s="5" t="s">
        <v>77</v>
      </c>
      <c r="D21" s="4" t="s">
        <v>20</v>
      </c>
      <c r="E21" s="4" t="s">
        <v>21</v>
      </c>
      <c r="F21" s="4" t="s">
        <v>22</v>
      </c>
      <c r="G21" s="6">
        <v>2.9</v>
      </c>
      <c r="H21" s="6">
        <v>6.5</v>
      </c>
      <c r="I21" s="6">
        <f>H21-G21</f>
        <v>3.6</v>
      </c>
      <c r="J21" s="7">
        <f>IF(H21&gt;0, (H21-G21)/H21, 0)</f>
        <v>0.5538461538461539</v>
      </c>
      <c r="K21" s="4" t="s">
        <v>23</v>
      </c>
      <c r="L21" s="5" t="str">
        <f>CONCATENATE("(", A21, ") ", B21)</f>
        <v>(M-MAT-16) Sifón Botella Extensible 1 1/2"</v>
      </c>
      <c r="M21" s="16" t="s">
        <v>24</v>
      </c>
      <c r="N21" s="16" t="s">
        <v>25</v>
      </c>
      <c r="O21" s="16" t="s">
        <v>26</v>
      </c>
    </row>
    <row r="22">
      <c r="A22" s="8" t="s">
        <v>78</v>
      </c>
      <c r="B22" s="9" t="s">
        <v>79</v>
      </c>
      <c r="C22" s="9" t="s">
        <v>80</v>
      </c>
      <c r="D22" s="8" t="s">
        <v>20</v>
      </c>
      <c r="E22" s="8" t="s">
        <v>21</v>
      </c>
      <c r="F22" s="8" t="s">
        <v>22</v>
      </c>
      <c r="G22" s="10">
        <v>0.45</v>
      </c>
      <c r="H22" s="10">
        <v>1.25</v>
      </c>
      <c r="I22" s="10">
        <f>H22-G22</f>
        <v>0.8</v>
      </c>
      <c r="J22" s="11">
        <f>IF(H22&gt;0, (H22-G22)/H22, 0)</f>
        <v>0.64</v>
      </c>
      <c r="K22" s="8" t="s">
        <v>23</v>
      </c>
      <c r="L22" s="9" t="str">
        <f>CONCATENATE("(", A22, ") ", B22)</f>
        <v>(M-MAT-17) Cinta Aislante Negra 19mm x 20m</v>
      </c>
      <c r="M22" s="17" t="s">
        <v>24</v>
      </c>
      <c r="N22" s="17" t="s">
        <v>25</v>
      </c>
      <c r="O22" s="17" t="s">
        <v>26</v>
      </c>
    </row>
    <row r="23">
      <c r="A23" s="4" t="s">
        <v>81</v>
      </c>
      <c r="B23" s="5" t="s">
        <v>82</v>
      </c>
      <c r="C23" s="5" t="s">
        <v>83</v>
      </c>
      <c r="D23" s="4" t="s">
        <v>20</v>
      </c>
      <c r="E23" s="4" t="s">
        <v>21</v>
      </c>
      <c r="F23" s="4" t="s">
        <v>22</v>
      </c>
      <c r="G23" s="6">
        <v>1.1</v>
      </c>
      <c r="H23" s="6">
        <v>2.95</v>
      </c>
      <c r="I23" s="6">
        <f>H23-G23</f>
        <v>1.85</v>
      </c>
      <c r="J23" s="7">
        <f>IF(H23&gt;0, (H23-G23)/H23, 0)</f>
        <v>0.6271186440677966</v>
      </c>
      <c r="K23" s="4" t="s">
        <v>23</v>
      </c>
      <c r="L23" s="5" t="str">
        <f>CONCATENATE("(", A23, ") ", B23)</f>
        <v>(M-MAT-18) Bombilla LED E27 12W (Eq. 100W) 4000K</v>
      </c>
      <c r="M23" s="16" t="s">
        <v>24</v>
      </c>
      <c r="N23" s="16" t="s">
        <v>25</v>
      </c>
      <c r="O23" s="16" t="s">
        <v>26</v>
      </c>
    </row>
    <row r="24">
      <c r="A24" s="8" t="s">
        <v>84</v>
      </c>
      <c r="B24" s="9" t="s">
        <v>85</v>
      </c>
      <c r="C24" s="9" t="s">
        <v>86</v>
      </c>
      <c r="D24" s="8" t="s">
        <v>20</v>
      </c>
      <c r="E24" s="8" t="s">
        <v>21</v>
      </c>
      <c r="F24" s="8" t="s">
        <v>22</v>
      </c>
      <c r="G24" s="10">
        <v>3.1</v>
      </c>
      <c r="H24" s="10">
        <v>7.2</v>
      </c>
      <c r="I24" s="10">
        <f>H24-G24</f>
        <v>4.1</v>
      </c>
      <c r="J24" s="11">
        <f>IF(H24&gt;0, (H24-G24)/H24, 0)</f>
        <v>0.5694444444444444</v>
      </c>
      <c r="K24" s="8" t="s">
        <v>23</v>
      </c>
      <c r="L24" s="9" t="str">
        <f>CONCATENATE("(", A24, ") ", B24)</f>
        <v>(M-MAT-19) Base Múltiple 4 Tomas con Interruptor 1.5m</v>
      </c>
      <c r="M24" s="17" t="s">
        <v>24</v>
      </c>
      <c r="N24" s="17" t="s">
        <v>25</v>
      </c>
      <c r="O24" s="17" t="s">
        <v>26</v>
      </c>
    </row>
    <row r="25">
      <c r="A25" s="4" t="s">
        <v>87</v>
      </c>
      <c r="B25" s="5" t="s">
        <v>88</v>
      </c>
      <c r="C25" s="5" t="s">
        <v>89</v>
      </c>
      <c r="D25" s="4" t="s">
        <v>20</v>
      </c>
      <c r="E25" s="4" t="s">
        <v>55</v>
      </c>
      <c r="F25" s="4" t="s">
        <v>22</v>
      </c>
      <c r="G25" s="6">
        <v>21.5</v>
      </c>
      <c r="H25" s="6">
        <v>39</v>
      </c>
      <c r="I25" s="6">
        <f>H25-G25</f>
        <v>17.5</v>
      </c>
      <c r="J25" s="7">
        <f>IF(H25&gt;0, (H25-G25)/H25, 0)</f>
        <v>0.44871794871794873</v>
      </c>
      <c r="K25" s="4" t="s">
        <v>23</v>
      </c>
      <c r="L25" s="5" t="str">
        <f>CONCATENATE("(", A25, ") ", B25)</f>
        <v>(M-MAT-20) Cable Unipolar H07V-K 2.5mm² Azul 100m</v>
      </c>
      <c r="M25" s="16" t="s">
        <v>24</v>
      </c>
      <c r="N25" s="16" t="s">
        <v>25</v>
      </c>
      <c r="O25" s="16" t="s">
        <v>26</v>
      </c>
    </row>
    <row r="26">
      <c r="A26" s="8" t="s">
        <v>90</v>
      </c>
      <c r="B26" s="9" t="s">
        <v>91</v>
      </c>
      <c r="C26" s="9" t="s">
        <v>92</v>
      </c>
      <c r="D26" s="8" t="s">
        <v>20</v>
      </c>
      <c r="E26" s="8" t="s">
        <v>93</v>
      </c>
      <c r="F26" s="8" t="s">
        <v>22</v>
      </c>
      <c r="G26" s="10">
        <v>18</v>
      </c>
      <c r="H26" s="10">
        <v>34.9</v>
      </c>
      <c r="I26" s="10">
        <f>H26-G26</f>
        <v>16.9</v>
      </c>
      <c r="J26" s="11">
        <f>IF(H26&gt;0, (H26-G26)/H26, 0)</f>
        <v>0.48424068767908307</v>
      </c>
      <c r="K26" s="8" t="s">
        <v>23</v>
      </c>
      <c r="L26" s="9" t="str">
        <f>CONCATENATE("(", A26, ") ", B26)</f>
        <v>(M-MAT-21) Pintura Plástica Blanco Mate 15L</v>
      </c>
      <c r="M26" s="17" t="s">
        <v>24</v>
      </c>
      <c r="N26" s="17" t="s">
        <v>25</v>
      </c>
      <c r="O26" s="17" t="s">
        <v>26</v>
      </c>
    </row>
    <row r="27">
      <c r="A27" s="4" t="s">
        <v>94</v>
      </c>
      <c r="B27" s="5" t="s">
        <v>95</v>
      </c>
      <c r="C27" s="5" t="s">
        <v>96</v>
      </c>
      <c r="D27" s="4" t="s">
        <v>20</v>
      </c>
      <c r="E27" s="4" t="s">
        <v>21</v>
      </c>
      <c r="F27" s="4" t="s">
        <v>22</v>
      </c>
      <c r="G27" s="6">
        <v>2.05</v>
      </c>
      <c r="H27" s="6">
        <v>4.5</v>
      </c>
      <c r="I27" s="6">
        <f>H27-G27</f>
        <v>2.45</v>
      </c>
      <c r="J27" s="7">
        <f>IF(H27&gt;0, (H27-G27)/H27, 0)</f>
        <v>0.5444444444444445</v>
      </c>
      <c r="K27" s="4" t="s">
        <v>23</v>
      </c>
      <c r="L27" s="5" t="str">
        <f>CONCATENATE("(", A27, ") ", B27)</f>
        <v>(M-MAT-22) Silicona Neutra Transparente 300ml</v>
      </c>
      <c r="M27" s="16" t="s">
        <v>24</v>
      </c>
      <c r="N27" s="16" t="s">
        <v>25</v>
      </c>
      <c r="O27" s="16" t="s">
        <v>26</v>
      </c>
    </row>
    <row r="28">
      <c r="A28" s="8" t="s">
        <v>97</v>
      </c>
      <c r="B28" s="9" t="s">
        <v>98</v>
      </c>
      <c r="C28" s="9" t="s">
        <v>99</v>
      </c>
      <c r="D28" s="8" t="s">
        <v>20</v>
      </c>
      <c r="E28" s="8" t="s">
        <v>21</v>
      </c>
      <c r="F28" s="8" t="s">
        <v>22</v>
      </c>
      <c r="G28" s="10">
        <v>3.2</v>
      </c>
      <c r="H28" s="10">
        <v>6.8</v>
      </c>
      <c r="I28" s="10">
        <f>H28-G28</f>
        <v>3.5999999999999996</v>
      </c>
      <c r="J28" s="11">
        <f>IF(H28&gt;0, (H28-G28)/H28, 0)</f>
        <v>0.5294117647058824</v>
      </c>
      <c r="K28" s="8" t="s">
        <v>23</v>
      </c>
      <c r="L28" s="9" t="str">
        <f>CONCATENATE("(", A28, ") ", B28)</f>
        <v>(M-MAT-23) Espuma de Poliuretano Cánula 750ml</v>
      </c>
      <c r="M28" s="17" t="s">
        <v>24</v>
      </c>
      <c r="N28" s="17" t="s">
        <v>25</v>
      </c>
      <c r="O28" s="17" t="s">
        <v>26</v>
      </c>
    </row>
    <row r="29">
      <c r="A29" s="4" t="s">
        <v>100</v>
      </c>
      <c r="B29" s="5" t="s">
        <v>101</v>
      </c>
      <c r="C29" s="5" t="s">
        <v>102</v>
      </c>
      <c r="D29" s="4" t="s">
        <v>20</v>
      </c>
      <c r="E29" s="4" t="s">
        <v>21</v>
      </c>
      <c r="F29" s="4" t="s">
        <v>22</v>
      </c>
      <c r="G29" s="6">
        <v>2.4</v>
      </c>
      <c r="H29" s="6">
        <v>5.5</v>
      </c>
      <c r="I29" s="6">
        <f>H29-G29</f>
        <v>3.1</v>
      </c>
      <c r="J29" s="7">
        <f>IF(H29&gt;0, (H29-G29)/H29, 0)</f>
        <v>0.5636363636363636</v>
      </c>
      <c r="K29" s="4" t="s">
        <v>23</v>
      </c>
      <c r="L29" s="5" t="str">
        <f>CONCATENATE("(", A29, ") ", B29)</f>
        <v>(M-MAT-24) Rodillo Antigota 22cm Pelo Corto</v>
      </c>
      <c r="M29" s="16" t="s">
        <v>24</v>
      </c>
      <c r="N29" s="16" t="s">
        <v>25</v>
      </c>
      <c r="O29" s="16" t="s">
        <v>26</v>
      </c>
    </row>
    <row r="30">
      <c r="A30" s="8" t="s">
        <v>103</v>
      </c>
      <c r="B30" s="9" t="s">
        <v>104</v>
      </c>
      <c r="C30" s="9" t="s">
        <v>105</v>
      </c>
      <c r="D30" s="8" t="s">
        <v>20</v>
      </c>
      <c r="E30" s="8" t="s">
        <v>21</v>
      </c>
      <c r="F30" s="8" t="s">
        <v>22</v>
      </c>
      <c r="G30" s="10">
        <v>0.85</v>
      </c>
      <c r="H30" s="10">
        <v>2.3</v>
      </c>
      <c r="I30" s="10">
        <f>H30-G30</f>
        <v>1.4499999999999997</v>
      </c>
      <c r="J30" s="11">
        <f>IF(H30&gt;0, (H30-G30)/H30, 0)</f>
        <v>0.6304347826086956</v>
      </c>
      <c r="K30" s="8" t="s">
        <v>23</v>
      </c>
      <c r="L30" s="9" t="str">
        <f>CONCATENATE("(", A30, ") ", B30)</f>
        <v>(M-MAT-25) Guantes de Trabajo Nitrilo Talla 9</v>
      </c>
      <c r="M30" s="17" t="s">
        <v>24</v>
      </c>
      <c r="N30" s="17" t="s">
        <v>25</v>
      </c>
      <c r="O30" s="17" t="s">
        <v>26</v>
      </c>
    </row>
    <row r="31">
      <c r="A31" s="4" t="s">
        <v>106</v>
      </c>
      <c r="B31" s="5" t="s">
        <v>107</v>
      </c>
      <c r="C31" s="5" t="s">
        <v>108</v>
      </c>
      <c r="D31" s="4" t="s">
        <v>20</v>
      </c>
      <c r="E31" s="4" t="s">
        <v>21</v>
      </c>
      <c r="F31" s="4" t="s">
        <v>22</v>
      </c>
      <c r="G31" s="6">
        <v>1.6</v>
      </c>
      <c r="H31" s="6">
        <v>3.9</v>
      </c>
      <c r="I31" s="6">
        <f>H31-G31</f>
        <v>2.3</v>
      </c>
      <c r="J31" s="7">
        <f>IF(H31&gt;0, (H31-G31)/H31, 0)</f>
        <v>0.5897435897435898</v>
      </c>
      <c r="K31" s="4" t="s">
        <v>23</v>
      </c>
      <c r="L31" s="5" t="str">
        <f>CONCATENATE("(", A31, ") ", B31)</f>
        <v>(M-MAT-26) Gafas de Seguridad Policarbonato</v>
      </c>
      <c r="M31" s="16" t="s">
        <v>24</v>
      </c>
      <c r="N31" s="16" t="s">
        <v>25</v>
      </c>
      <c r="O31" s="16" t="s">
        <v>26</v>
      </c>
    </row>
    <row r="32">
      <c r="A32" s="8" t="s">
        <v>109</v>
      </c>
      <c r="B32" s="9" t="s">
        <v>110</v>
      </c>
      <c r="C32" s="9" t="s">
        <v>111</v>
      </c>
      <c r="D32" s="8" t="s">
        <v>20</v>
      </c>
      <c r="E32" s="8" t="s">
        <v>55</v>
      </c>
      <c r="F32" s="8" t="s">
        <v>22</v>
      </c>
      <c r="G32" s="10">
        <v>4.5</v>
      </c>
      <c r="H32" s="10">
        <v>11.5</v>
      </c>
      <c r="I32" s="10">
        <f>H32-G32</f>
        <v>7</v>
      </c>
      <c r="J32" s="11">
        <f>IF(H32&gt;0, (H32-G32)/H32, 0)</f>
        <v>0.6086956521739131</v>
      </c>
      <c r="K32" s="8" t="s">
        <v>23</v>
      </c>
      <c r="L32" s="9" t="str">
        <f>CONCATENATE("(", A32, ") ", B32)</f>
        <v>(M-MAT-27) Mascarilla FFP2 NR (Caja 20u)</v>
      </c>
      <c r="M32" s="17" t="s">
        <v>24</v>
      </c>
      <c r="N32" s="17" t="s">
        <v>25</v>
      </c>
      <c r="O32" s="17" t="s">
        <v>26</v>
      </c>
    </row>
    <row r="33">
      <c r="A33" s="4" t="s">
        <v>112</v>
      </c>
      <c r="B33" s="5" t="s">
        <v>113</v>
      </c>
      <c r="C33" s="5" t="s">
        <v>114</v>
      </c>
      <c r="D33" s="4" t="s">
        <v>20</v>
      </c>
      <c r="E33" s="4" t="s">
        <v>115</v>
      </c>
      <c r="F33" s="4" t="s">
        <v>22</v>
      </c>
      <c r="G33" s="6">
        <v>9.5</v>
      </c>
      <c r="H33" s="6">
        <v>21</v>
      </c>
      <c r="I33" s="6">
        <f>H33-G33</f>
        <v>11.5</v>
      </c>
      <c r="J33" s="7">
        <f>IF(H33&gt;0, (H33-G33)/H33, 0)</f>
        <v>0.5476190476190477</v>
      </c>
      <c r="K33" s="4" t="s">
        <v>23</v>
      </c>
      <c r="L33" s="5" t="str">
        <f>CONCATENATE("(", A33, ") ", B33)</f>
        <v>(M-MAT-28) Manguera Jardín 5 Capas 1/2" 25m</v>
      </c>
      <c r="M33" s="16" t="s">
        <v>24</v>
      </c>
      <c r="N33" s="16" t="s">
        <v>25</v>
      </c>
      <c r="O33" s="16" t="s">
        <v>26</v>
      </c>
    </row>
    <row r="34">
      <c r="A34" s="8" t="s">
        <v>116</v>
      </c>
      <c r="B34" s="9" t="s">
        <v>117</v>
      </c>
      <c r="C34" s="9" t="s">
        <v>118</v>
      </c>
      <c r="D34" s="8" t="s">
        <v>20</v>
      </c>
      <c r="E34" s="8" t="s">
        <v>21</v>
      </c>
      <c r="F34" s="8" t="s">
        <v>22</v>
      </c>
      <c r="G34" s="10">
        <v>2.9</v>
      </c>
      <c r="H34" s="10">
        <v>6.25</v>
      </c>
      <c r="I34" s="10">
        <f>H34-G34</f>
        <v>3.35</v>
      </c>
      <c r="J34" s="11">
        <f>IF(H34&gt;0, (H34-G34)/H34, 0)</f>
        <v>0.536</v>
      </c>
      <c r="K34" s="8" t="s">
        <v>23</v>
      </c>
      <c r="L34" s="9" t="str">
        <f>CONCATENATE("(", A34, ") ", B34)</f>
        <v>(M-MAT-29) Aceite Multiusos 3-en-1 Spray 400ml</v>
      </c>
      <c r="M34" s="17" t="s">
        <v>24</v>
      </c>
      <c r="N34" s="17" t="s">
        <v>25</v>
      </c>
      <c r="O34" s="17" t="s">
        <v>26</v>
      </c>
    </row>
    <row r="35">
      <c r="A35" s="12" t="s">
        <v>119</v>
      </c>
      <c r="B35" s="13"/>
      <c r="C35" s="13"/>
      <c r="D35" s="13"/>
      <c r="E35" s="13"/>
      <c r="F35" s="13"/>
      <c r="G35" s="14">
        <f>SUM(G5:G34)</f>
        <v>215.64999999999998</v>
      </c>
      <c r="H35" s="14">
        <f>SUM(H5:H34)</f>
        <v>436.74999999999994</v>
      </c>
      <c r="I35" s="14">
        <f>SUM(I5:I34)</f>
        <v>221.1</v>
      </c>
      <c r="J35" s="15">
        <f>AVERAGE(J5:J34)</f>
        <v>0.5466685760001584</v>
      </c>
      <c r="K35" s="13"/>
      <c r="L35" s="13"/>
    </row>
  </sheetData>
  <dataValidations count="2">
    <dataValidation type="list" sqref="D5:D34" xr:uid="{EC88C032-F242-42B0-A68D-C5ACA53952CD}">
      <formula1>"Material,ManoDeObra,Servicio"</formula1>
    </dataValidation>
    <dataValidation type="list" sqref="K5:K34" xr:uid="{82755A2F-27D6-41E2-95F2-3EED5B35A278}">
      <formula1>"SI,NO"</formula1>
    </dataValidation>
  </dataValidations>
  <pageMargins left="0.75" right="0.75" top="1" bottom="1" header="0.5" footer="0.5"/>
  <headerFooter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3E56F7CB-11E3-4A2E-AE41-CEC8720EB8A1}">
          <x14:formula1>
            <xm:f>Maestro_Unidades!$B$4:$B$11</xm:f>
          </x14:formula1>
          <xm:sqref>E5:E34</xm:sqref>
        </x14:dataValidation>
        <x14:dataValidation type="list" xr:uid="{2B34057E-527E-4035-8B89-D5794EEC8ADB}">
          <x14:formula1>
            <xm:f>Maestro_Naturalezas!$B$4:$B$11</xm:f>
          </x14:formula1>
          <xm:sqref>F5:F34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min="1" max="1" width="45" customWidth="1"/>
    <col min="2" max="2" width="27" customWidth="1"/>
    <col min="3" max="3" width="40" customWidth="1"/>
    <col min="4" max="4" width="37" customWidth="1"/>
  </cols>
  <sheetData>
    <row r="1">
      <c r="A1" s="1" t="s">
        <v>120</v>
      </c>
    </row>
    <row r="3">
      <c r="A3" s="3" t="s">
        <v>121</v>
      </c>
      <c r="B3" s="3" t="s">
        <v>122</v>
      </c>
      <c r="C3" s="3" t="s">
        <v>123</v>
      </c>
      <c r="D3" s="3" t="s">
        <v>124</v>
      </c>
    </row>
    <row r="4">
      <c r="A4" s="8">
        <v>1</v>
      </c>
      <c r="B4" s="8" t="s">
        <v>21</v>
      </c>
      <c r="C4" s="9" t="s">
        <v>125</v>
      </c>
      <c r="D4" s="9" t="str">
        <f>CONCATENATE("(", B4, ") ", C4)</f>
        <v>(UD) Unidad</v>
      </c>
    </row>
    <row r="5">
      <c r="A5" s="4">
        <v>2</v>
      </c>
      <c r="B5" s="4" t="s">
        <v>126</v>
      </c>
      <c r="C5" s="5" t="s">
        <v>127</v>
      </c>
      <c r="D5" s="5" t="str">
        <f>CONCATENATE("(", B5, ") ", C5)</f>
        <v>(KG) Kilogramo</v>
      </c>
    </row>
    <row r="6">
      <c r="A6" s="8">
        <v>3</v>
      </c>
      <c r="B6" s="8" t="s">
        <v>115</v>
      </c>
      <c r="C6" s="9" t="s">
        <v>128</v>
      </c>
      <c r="D6" s="9" t="str">
        <f>CONCATENATE("(", B6, ") ", C6)</f>
        <v>(M) Metro lineal</v>
      </c>
    </row>
    <row r="7">
      <c r="A7" s="4">
        <v>4</v>
      </c>
      <c r="B7" s="4" t="s">
        <v>129</v>
      </c>
      <c r="C7" s="5" t="s">
        <v>130</v>
      </c>
      <c r="D7" s="5" t="str">
        <f>CONCATENATE("(", B7, ") ", C7)</f>
        <v>(M2) Metro cuadrado</v>
      </c>
    </row>
    <row r="8">
      <c r="A8" s="8">
        <v>5</v>
      </c>
      <c r="B8" s="8" t="s">
        <v>93</v>
      </c>
      <c r="C8" s="9" t="s">
        <v>131</v>
      </c>
      <c r="D8" s="9" t="str">
        <f>CONCATENATE("(", B8, ") ", C8)</f>
        <v>(L) Litro</v>
      </c>
    </row>
    <row r="9">
      <c r="A9" s="4">
        <v>6</v>
      </c>
      <c r="B9" s="4" t="s">
        <v>55</v>
      </c>
      <c r="C9" s="5" t="s">
        <v>132</v>
      </c>
      <c r="D9" s="5" t="str">
        <f>CONCATENATE("(", B9, ") ", C9)</f>
        <v>(CJ) Caja</v>
      </c>
    </row>
    <row r="10">
      <c r="A10" s="8">
        <v>7</v>
      </c>
      <c r="B10" s="8" t="s">
        <v>59</v>
      </c>
      <c r="C10" s="9" t="s">
        <v>133</v>
      </c>
      <c r="D10" s="9" t="str">
        <f>CONCATENATE("(", B10, ") ", C10)</f>
        <v>(BL) Blíster / Paquete</v>
      </c>
    </row>
    <row r="11">
      <c r="A11" s="4">
        <v>8</v>
      </c>
      <c r="B11" s="4" t="s">
        <v>30</v>
      </c>
      <c r="C11" s="5" t="s">
        <v>134</v>
      </c>
      <c r="D11" s="5" t="str">
        <f>CONCATENATE("(", B11, ") ", C11)</f>
        <v>(JGO) Juego / Set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min="1" max="1" width="54" customWidth="1"/>
    <col min="2" max="2" width="13" customWidth="1"/>
    <col min="3" max="3" width="33" customWidth="1"/>
    <col min="4" max="4" width="16" customWidth="1"/>
    <col min="5" max="5" width="18" customWidth="1"/>
    <col min="6" max="6" width="37" customWidth="1"/>
  </cols>
  <sheetData>
    <row r="1">
      <c r="A1" s="1" t="s">
        <v>135</v>
      </c>
    </row>
    <row r="3">
      <c r="A3" s="3" t="s">
        <v>136</v>
      </c>
      <c r="B3" s="3" t="s">
        <v>137</v>
      </c>
      <c r="C3" s="3" t="s">
        <v>138</v>
      </c>
      <c r="D3" s="3" t="s">
        <v>139</v>
      </c>
      <c r="E3" s="3" t="s">
        <v>140</v>
      </c>
      <c r="F3" s="3" t="s">
        <v>124</v>
      </c>
    </row>
    <row r="4">
      <c r="A4" s="8">
        <v>101</v>
      </c>
      <c r="B4" s="8" t="s">
        <v>141</v>
      </c>
      <c r="C4" s="9" t="s">
        <v>142</v>
      </c>
      <c r="D4" s="8" t="s">
        <v>25</v>
      </c>
      <c r="E4" s="8" t="s">
        <v>26</v>
      </c>
      <c r="F4" s="9" t="str">
        <f>CONCATENATE("(", B4, ") ", C4)</f>
        <v>(HERR-MAN) Herramienta Manual</v>
      </c>
    </row>
    <row r="5">
      <c r="A5" s="4">
        <v>102</v>
      </c>
      <c r="B5" s="4" t="s">
        <v>143</v>
      </c>
      <c r="C5" s="5" t="s">
        <v>144</v>
      </c>
      <c r="D5" s="4" t="s">
        <v>145</v>
      </c>
      <c r="E5" s="4" t="s">
        <v>146</v>
      </c>
      <c r="F5" s="5" t="str">
        <f>CONCATENATE("(", B5, ") ", C5)</f>
        <v>(HERR-ELE) Herramienta Eléctrica</v>
      </c>
    </row>
    <row r="6">
      <c r="A6" s="8">
        <v>103</v>
      </c>
      <c r="B6" s="8" t="s">
        <v>147</v>
      </c>
      <c r="C6" s="9" t="s">
        <v>148</v>
      </c>
      <c r="D6" s="8" t="s">
        <v>149</v>
      </c>
      <c r="E6" s="8" t="s">
        <v>150</v>
      </c>
      <c r="F6" s="9" t="str">
        <f>CONCATENATE("(", B6, ") ", C6)</f>
        <v>(TORN-FER) Tornillería y Fijación</v>
      </c>
    </row>
    <row r="7">
      <c r="A7" s="4">
        <v>104</v>
      </c>
      <c r="B7" s="4" t="s">
        <v>151</v>
      </c>
      <c r="C7" s="5" t="s">
        <v>152</v>
      </c>
      <c r="D7" s="4" t="s">
        <v>153</v>
      </c>
      <c r="E7" s="4" t="s">
        <v>154</v>
      </c>
      <c r="F7" s="5" t="str">
        <f>CONCATENATE("(", B7, ") ", C7)</f>
        <v>(FONT-TUB) Fontanería y Tuberías</v>
      </c>
    </row>
    <row r="8">
      <c r="A8" s="8">
        <v>105</v>
      </c>
      <c r="B8" s="8" t="s">
        <v>155</v>
      </c>
      <c r="C8" s="9" t="s">
        <v>156</v>
      </c>
      <c r="D8" s="8" t="s">
        <v>157</v>
      </c>
      <c r="E8" s="8" t="s">
        <v>158</v>
      </c>
      <c r="F8" s="9" t="str">
        <f>CONCATENATE("(", B8, ") ", C8)</f>
        <v>(ELEC-ILU) Electricidad e Iluminación</v>
      </c>
    </row>
    <row r="9">
      <c r="A9" s="4">
        <v>106</v>
      </c>
      <c r="B9" s="4" t="s">
        <v>159</v>
      </c>
      <c r="C9" s="5" t="s">
        <v>160</v>
      </c>
      <c r="D9" s="4" t="s">
        <v>161</v>
      </c>
      <c r="E9" s="4" t="s">
        <v>162</v>
      </c>
      <c r="F9" s="5" t="str">
        <f>CONCATENATE("(", B9, ") ", C9)</f>
        <v>(PINT-QUIM) Pintura y Químicos</v>
      </c>
    </row>
    <row r="10">
      <c r="A10" s="8">
        <v>107</v>
      </c>
      <c r="B10" s="8" t="s">
        <v>163</v>
      </c>
      <c r="C10" s="9" t="s">
        <v>164</v>
      </c>
      <c r="D10" s="8" t="s">
        <v>165</v>
      </c>
      <c r="E10" s="8" t="s">
        <v>166</v>
      </c>
      <c r="F10" s="9" t="str">
        <f>CONCATENATE("(", B10, ") ", C10)</f>
        <v>(PROT-EPI) Protección Laboral (EPIs)</v>
      </c>
    </row>
    <row r="11">
      <c r="A11" s="4">
        <v>108</v>
      </c>
      <c r="B11" s="4" t="s">
        <v>167</v>
      </c>
      <c r="C11" s="5" t="s">
        <v>168</v>
      </c>
      <c r="D11" s="4" t="s">
        <v>169</v>
      </c>
      <c r="E11" s="4" t="s">
        <v>170</v>
      </c>
      <c r="F11" s="5" t="str">
        <f>CONCATENATE("(", B11, ") ", C11)</f>
        <v>(JARD-CON) Jardinería y Consumibles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2026-08-31T18:28:18Z</dcterms:created>
  <dcterms:modified xmlns:dcterms="http://purl.org/dc/terms/" xmlns:xsi="http://www.w3.org/2001/XMLSchema-instance" xsi:type="dcterms:W3CDTF">2026-08-31T18:28:18Z</dcterms:modified>
</cp:coreProperties>
</file>